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5" i="1" l="1"/>
  <c r="G17" i="1" l="1"/>
</calcChain>
</file>

<file path=xl/sharedStrings.xml><?xml version="1.0" encoding="utf-8"?>
<sst xmlns="http://schemas.openxmlformats.org/spreadsheetml/2006/main" count="32" uniqueCount="22">
  <si>
    <t xml:space="preserve">Data </t>
  </si>
  <si>
    <t>Azienda</t>
  </si>
  <si>
    <t xml:space="preserve">N° ordine </t>
  </si>
  <si>
    <t>Costo</t>
  </si>
  <si>
    <t>Note</t>
  </si>
  <si>
    <t>JLCPCB</t>
  </si>
  <si>
    <t>W202502160407607</t>
  </si>
  <si>
    <t>5 schede assemblate</t>
  </si>
  <si>
    <t>Aliexpress</t>
  </si>
  <si>
    <t>Quantità</t>
  </si>
  <si>
    <t>Costo unitario</t>
  </si>
  <si>
    <t>Connettori 35 pin grigi coppia M F</t>
  </si>
  <si>
    <t>3049790297864226</t>
  </si>
  <si>
    <t>Connettori 35 pin neri coppia M F</t>
  </si>
  <si>
    <t>Driver DC TLE9201SG</t>
  </si>
  <si>
    <t>Presa USB-C da pannello con cablaggio e connettore PH 2.0</t>
  </si>
  <si>
    <t>UPS Paypal</t>
  </si>
  <si>
    <t>O-48X567767E283272K</t>
  </si>
  <si>
    <t>Oneri governativi, commissioni UPS, IVA</t>
  </si>
  <si>
    <t>Totale</t>
  </si>
  <si>
    <t>Micro SD</t>
  </si>
  <si>
    <t>Modulo Bluetooth JDY-33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</si>
</sst>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€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/>
    <xf numFmtId="164" fontId="0" fillId="0" borderId="0" xfId="0" applyNumberFormat="1"/>
    <xf numFmtId="164" fontId="1" fillId="0" borderId="1" xfId="0" applyNumberFormat="1" applyFont="1" applyBorder="1"/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49" fontId="1" fillId="0" borderId="1" xfId="0" applyNumberFormat="1" applyFont="1" applyBorder="1"/>
    <xf numFmtId="49" fontId="0" fillId="0" borderId="1" xfId="0" applyNumberFormat="1" applyBorder="1"/>
    <xf numFmtId="49" fontId="0" fillId="0" borderId="0" xfId="0" applyNumberFormat="1"/>
    <xf numFmtId="3" fontId="1" fillId="0" borderId="1" xfId="0" applyNumberFormat="1" applyFont="1" applyBorder="1"/>
    <xf numFmtId="3" fontId="0" fillId="0" borderId="1" xfId="0" applyNumberFormat="1" applyBorder="1"/>
    <xf numFmtId="3" fontId="0" fillId="0" borderId="0" xfId="0" applyNumberFormat="1"/>
    <xf numFmtId="49" fontId="2" fillId="0" borderId="1" xfId="0" applyNumberFormat="1" applyFont="1" applyBorder="1"/>
    <xf numFmtId="0" fontId="3" fillId="0" borderId="0" xfId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aypal.com/myaccount/activities/details/O-48X567767E283272K?intent=xo_email_txn_details&amp;src=RT000064&amp;source=RT000064&amp;ref_id=O-48X567767E283272K&amp;url_clicked_desc=txn-id-hyperlink&amp;link_ref=link-transaction_id&amp;v=1&amp;utm_source=unp&amp;utm_medium=email&amp;utm_campaign=RT000064&amp;utm_unptid=72df75ad-f7f5-11ef-b977-c1314a955e0b&amp;ppid=RT000064&amp;cnac=IT&amp;rsta=it_IT%28it-IT%29&amp;cust=LR2VEFRWQWQE4&amp;unptid=72df75ad-f7f5-11ef-b977-c1314a955e0b&amp;calc=74888a73a1abd&amp;unp_tpcid=email-receipt-checkout-order-rt000064&amp;page=main%3Aemail%3ART000064&amp;pgrp=main%3Aemail&amp;e=cl&amp;mchn=em&amp;s=ci&amp;mail=sys&amp;appVersion=1.311.0&amp;xt=145585%2C141833%2C154413%2C1040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17"/>
  <sheetViews>
    <sheetView tabSelected="1" workbookViewId="0">
      <selection activeCell="H29" sqref="H29"/>
    </sheetView>
  </sheetViews>
  <sheetFormatPr defaultRowHeight="15" x14ac:dyDescent="0.25"/>
  <cols>
    <col min="2" max="2" width="10.7109375" bestFit="1" customWidth="1"/>
    <col min="3" max="3" width="24" customWidth="1"/>
    <col min="4" max="4" width="24" style="9" customWidth="1"/>
    <col min="5" max="5" width="11.5703125" style="2" customWidth="1"/>
    <col min="6" max="6" width="16.85546875" style="12" customWidth="1"/>
    <col min="7" max="7" width="14.42578125" style="2" bestFit="1" customWidth="1"/>
    <col min="8" max="8" width="53.85546875" bestFit="1" customWidth="1"/>
  </cols>
  <sheetData>
    <row r="3" spans="2:8" x14ac:dyDescent="0.25">
      <c r="B3" s="1" t="s">
        <v>0</v>
      </c>
      <c r="C3" s="1" t="s">
        <v>1</v>
      </c>
      <c r="D3" s="7" t="s">
        <v>2</v>
      </c>
      <c r="E3" s="3" t="s">
        <v>3</v>
      </c>
      <c r="F3" s="10" t="s">
        <v>9</v>
      </c>
      <c r="G3" s="3" t="s">
        <v>10</v>
      </c>
      <c r="H3" s="1" t="s">
        <v>4</v>
      </c>
    </row>
    <row r="5" spans="2:8" x14ac:dyDescent="0.25">
      <c r="B5" s="4">
        <v>45703</v>
      </c>
      <c r="C5" s="5" t="s">
        <v>5</v>
      </c>
      <c r="D5" s="8" t="s">
        <v>6</v>
      </c>
      <c r="E5" s="6">
        <v>504.19</v>
      </c>
      <c r="F5" s="11">
        <v>5</v>
      </c>
      <c r="G5" s="6">
        <f>E5/F5</f>
        <v>100.83799999999999</v>
      </c>
      <c r="H5" s="5" t="s">
        <v>7</v>
      </c>
    </row>
    <row r="6" spans="2:8" x14ac:dyDescent="0.25">
      <c r="B6" s="4">
        <v>45703</v>
      </c>
      <c r="C6" s="5" t="s">
        <v>8</v>
      </c>
      <c r="D6" s="13" t="s">
        <v>12</v>
      </c>
      <c r="E6" s="6">
        <v>27.07</v>
      </c>
      <c r="F6" s="11">
        <v>3</v>
      </c>
      <c r="G6" s="6">
        <f t="shared" ref="G6:G15" si="0">E6/F6</f>
        <v>9.0233333333333334</v>
      </c>
      <c r="H6" s="5" t="s">
        <v>11</v>
      </c>
    </row>
    <row r="7" spans="2:8" x14ac:dyDescent="0.25">
      <c r="B7" s="4">
        <v>45703</v>
      </c>
      <c r="C7" s="5" t="s">
        <v>8</v>
      </c>
      <c r="D7" s="13" t="s">
        <v>12</v>
      </c>
      <c r="E7" s="6">
        <v>27.39</v>
      </c>
      <c r="F7" s="11">
        <v>3</v>
      </c>
      <c r="G7" s="6">
        <f t="shared" si="0"/>
        <v>9.1300000000000008</v>
      </c>
      <c r="H7" s="5" t="s">
        <v>13</v>
      </c>
    </row>
    <row r="8" spans="2:8" x14ac:dyDescent="0.25">
      <c r="B8" s="4">
        <v>45703</v>
      </c>
      <c r="C8" s="5" t="s">
        <v>8</v>
      </c>
      <c r="D8" s="13" t="s">
        <v>12</v>
      </c>
      <c r="E8" s="6">
        <v>9.99</v>
      </c>
      <c r="F8" s="11">
        <v>5</v>
      </c>
      <c r="G8" s="6">
        <f t="shared" si="0"/>
        <v>1.998</v>
      </c>
      <c r="H8" s="5" t="s">
        <v>14</v>
      </c>
    </row>
    <row r="9" spans="2:8" x14ac:dyDescent="0.25">
      <c r="B9" s="4">
        <v>45703</v>
      </c>
      <c r="C9" s="5" t="s">
        <v>8</v>
      </c>
      <c r="D9" s="13" t="s">
        <v>12</v>
      </c>
      <c r="E9" s="6">
        <v>6.31</v>
      </c>
      <c r="F9" s="11">
        <v>10</v>
      </c>
      <c r="G9" s="6">
        <f t="shared" si="0"/>
        <v>0.63100000000000001</v>
      </c>
      <c r="H9" s="5" t="s">
        <v>15</v>
      </c>
    </row>
    <row r="10" spans="2:8" x14ac:dyDescent="0.25">
      <c r="B10" s="4">
        <v>45703</v>
      </c>
      <c r="C10" s="5" t="s">
        <v>8</v>
      </c>
      <c r="D10" s="13" t="s">
        <v>12</v>
      </c>
      <c r="E10" s="6">
        <v>3.59</v>
      </c>
      <c r="F10" s="11">
        <v>1</v>
      </c>
      <c r="G10" s="6">
        <f t="shared" si="0"/>
        <v>3.59</v>
      </c>
      <c r="H10" s="5" t="s">
        <v>20</v>
      </c>
    </row>
    <row r="11" spans="2:8" x14ac:dyDescent="0.25">
      <c r="B11" s="4">
        <v>45703</v>
      </c>
      <c r="C11" s="5" t="s">
        <v>8</v>
      </c>
      <c r="D11" s="13" t="s">
        <v>12</v>
      </c>
      <c r="E11" s="6">
        <v>8.48</v>
      </c>
      <c r="F11" s="11">
        <v>4</v>
      </c>
      <c r="G11" s="6">
        <f t="shared" si="0"/>
        <v>2.12</v>
      </c>
      <c r="H11" s="5" t="s">
        <v>21</v>
      </c>
    </row>
    <row r="12" spans="2:8" x14ac:dyDescent="0.25">
      <c r="B12" s="5"/>
      <c r="C12" s="5"/>
      <c r="D12" s="8"/>
      <c r="E12" s="6">
        <v>0</v>
      </c>
      <c r="F12" s="11">
        <v>1</v>
      </c>
      <c r="G12" s="6">
        <f t="shared" si="0"/>
        <v>0</v>
      </c>
      <c r="H12" s="5"/>
    </row>
    <row r="13" spans="2:8" x14ac:dyDescent="0.25">
      <c r="B13" s="4">
        <v>45719</v>
      </c>
      <c r="C13" s="5" t="s">
        <v>16</v>
      </c>
      <c r="D13" s="14" t="s">
        <v>17</v>
      </c>
      <c r="E13" s="6">
        <v>132.27000000000001</v>
      </c>
      <c r="F13" s="11">
        <v>5</v>
      </c>
      <c r="G13" s="6">
        <f t="shared" si="0"/>
        <v>26.454000000000001</v>
      </c>
      <c r="H13" s="5" t="s">
        <v>18</v>
      </c>
    </row>
    <row r="14" spans="2:8" x14ac:dyDescent="0.25">
      <c r="B14" s="5"/>
      <c r="C14" s="5"/>
      <c r="D14" s="8"/>
      <c r="E14" s="6">
        <v>0</v>
      </c>
      <c r="F14" s="11">
        <v>1</v>
      </c>
      <c r="G14" s="6">
        <f t="shared" si="0"/>
        <v>0</v>
      </c>
      <c r="H14" s="5"/>
    </row>
    <row r="15" spans="2:8" x14ac:dyDescent="0.25">
      <c r="B15" s="5"/>
      <c r="C15" s="5"/>
      <c r="D15" s="8"/>
      <c r="E15" s="6">
        <v>0</v>
      </c>
      <c r="F15" s="11">
        <v>1</v>
      </c>
      <c r="G15" s="6">
        <f t="shared" si="0"/>
        <v>0</v>
      </c>
      <c r="H15" s="5"/>
    </row>
    <row r="17" spans="6:7" x14ac:dyDescent="0.25">
      <c r="F17" s="12" t="s">
        <v>19</v>
      </c>
      <c r="G17" s="2">
        <f xml:space="preserve"> SUM(G5:G15)</f>
        <v>153.78433333333334</v>
      </c>
    </row>
  </sheetData>
  <hyperlinks>
    <hyperlink ref="D13" r:id="rId1" display="https://www.paypal.com/myaccount/activities/details/O-48X567767E283272K?intent=xo_email_txn_details&amp;src=RT000064&amp;source=RT000064&amp;ref_id=O-48X567767E283272K&amp;url_clicked_desc=txn-id-hyperlink&amp;link_ref=link-transaction_id&amp;v=1&amp;utm_source=unp&amp;utm_medium=email&amp;utm_campaign=RT000064&amp;utm_unptid=72df75ad-f7f5-11ef-b977-c1314a955e0b&amp;ppid=RT000064&amp;cnac=IT&amp;rsta=it_IT%28it-IT%29&amp;cust=LR2VEFRWQWQE4&amp;unptid=72df75ad-f7f5-11ef-b977-c1314a955e0b&amp;calc=74888a73a1abd&amp;unp_tpcid=email-receipt-checkout-order-rt000064&amp;page=main%3Aemail%3ART000064&amp;pgrp=main%3Aemail&amp;e=cl&amp;mchn=em&amp;s=ci&amp;mail=sys&amp;appVersion=1.311.0&amp;xt=145585%2C141833%2C154413%2C104038"/>
  </hyperlinks>
  <pageMargins left="0.7" right="0.7" top="0.75" bottom="0.75" header="0.3" footer="0.3"/>
  <pageSetup paperSize="9" orientation="portrait" horizontalDpi="360" verticalDpi="36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2025-03-04T06:45:22Z</dcterms:modified>
</cp:coreProperties>
</file>